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eak-eve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<sst xmlns="http://schemas.openxmlformats.org/spreadsheetml/2006/main" count="36" uniqueCount="35">
  <si>
    <t xml:space="preserve">Order volume vs profit  |  price 500 USD/m2, COGS 300 USD/m2, fixed NT$30m</t>
  </si>
  <si>
    <t xml:space="preserve">Inputs (edit the blue cells)</t>
  </si>
  <si>
    <t xml:space="preserve">Item</t>
  </si>
  <si>
    <t xml:space="preserve">Value</t>
  </si>
  <si>
    <t xml:space="preserve">Selling price (USD/m2)</t>
  </si>
  <si>
    <t xml:space="preserve">Unit COGS (USD/m2)</t>
  </si>
  <si>
    <t xml:space="preserve">Fixed overhead (TWD/year)</t>
  </si>
  <si>
    <t xml:space="preserve">FX TWD per USD</t>
  </si>
  <si>
    <t xml:space="preserve">Derived</t>
  </si>
  <si>
    <t xml:space="preserve">Contribution USD/m2</t>
  </si>
  <si>
    <t xml:space="preserve">Fixed overhead USD/year</t>
  </si>
  <si>
    <t xml:space="preserve">Break-even m2 / year</t>
  </si>
  <si>
    <t xml:space="preserve">Break-even sales USD</t>
  </si>
  <si>
    <t xml:space="preserve">Scenario table</t>
  </si>
  <si>
    <t xml:space="preserve">Volume m2/yr</t>
  </si>
  <si>
    <t xml:space="preserve">Sales USD</t>
  </si>
  <si>
    <t xml:space="preserve">COGS USD</t>
  </si>
  <si>
    <t xml:space="preserve">Gross profit USD</t>
  </si>
  <si>
    <t xml:space="preserve">Fixed USD</t>
  </si>
  <si>
    <t xml:space="preserve">Op. profit USD</t>
  </si>
  <si>
    <t xml:space="preserve">Op. margin</t>
  </si>
  <si>
    <t xml:space="preserve">Note</t>
  </si>
  <si>
    <t xml:space="preserve">Current capacity</t>
  </si>
  <si>
    <t xml:space="preserve">Still loss</t>
  </si>
  <si>
    <t xml:space="preserve">Close but loss</t>
  </si>
  <si>
    <t xml:space="preserve">Break-even</t>
  </si>
  <si>
    <t xml:space="preserve">First real profit band</t>
  </si>
  <si>
    <t xml:space="preserve">If equipment + demand hold</t>
  </si>
  <si>
    <t xml:space="preserve">How to use</t>
  </si>
  <si>
    <t xml:space="preserve">Change the yellow input cells. Break-even m2 updates automatically. Negotiate annual committed volume at or above the gold row. If new equipment raises fixed cost, increase cell B7 and read the new gold row.</t>
  </si>
  <si>
    <t xml:space="preserve">Chart data</t>
  </si>
  <si>
    <t xml:space="preserve">m2</t>
  </si>
  <si>
    <t xml:space="preserve">Sales kUSD</t>
  </si>
  <si>
    <t xml:space="preserve">Total cost kUSD</t>
  </si>
  <si>
    <t xml:space="preserve">Profit kUSD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</si>
</sst>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&quot;NT$&quot;#,##0"/>
    <numFmt numFmtId="167" formatCode="0.0"/>
    <numFmt numFmtId="168" formatCode="\$#,##0.00"/>
    <numFmt numFmtId="169" formatCode="#,##0"/>
    <numFmt numFmtId="170" formatCode="\$#,##0;&quot;($&quot;#,##0\);\-"/>
    <numFmt numFmtId="171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E699"/>
      </patternFill>
    </fill>
    <fill>
      <patternFill patternType="solid">
        <fgColor rgb="FFFFE6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78787"/>
      <rgbColor rgb="FF9999FF"/>
      <rgbColor rgb="FFBE4B48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vs total cost (kUSD)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'Break-even'!B32</c:f>
              <c:strCache>
                <c:ptCount val="1"/>
                <c:pt idx="0">
                  <c:v>Sales kUSD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'Break-even'!$A$33:$A$51</c:f>
              <c:strCache>
                <c:ptCount val="1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</c:strCache>
            </c:strRef>
          </c:cat>
          <c:val>
            <c:numRef>
              <c:f>'Break-even'!$B$33:$B$51</c:f>
              <c:numCache>
                <c:formatCode>General</c:formatCode>
                <c:ptCount val="19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'Break-even'!C32</c:f>
              <c:strCache>
                <c:ptCount val="1"/>
                <c:pt idx="0">
                  <c:v>Total cost kUSD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'Break-even'!$A$33:$A$51</c:f>
              <c:strCache>
                <c:ptCount val="1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</c:strCache>
            </c:strRef>
          </c:cat>
          <c:val>
            <c:numRef>
              <c:f>'Break-even'!$C$33:$C$51</c:f>
              <c:numCache>
                <c:formatCode>General</c:formatCode>
                <c:ptCount val="19"/>
                <c:pt idx="0">
                  <c:v>967.741935483871</c:v>
                </c:pt>
                <c:pt idx="1">
                  <c:v>1117.74193548387</c:v>
                </c:pt>
                <c:pt idx="2">
                  <c:v>1267.74193548387</c:v>
                </c:pt>
                <c:pt idx="3">
                  <c:v>1417.74193548387</c:v>
                </c:pt>
                <c:pt idx="4">
                  <c:v>1567.74193548387</c:v>
                </c:pt>
                <c:pt idx="5">
                  <c:v>1717.74193548387</c:v>
                </c:pt>
                <c:pt idx="6">
                  <c:v>1867.74193548387</c:v>
                </c:pt>
                <c:pt idx="7">
                  <c:v>2017.74193548387</c:v>
                </c:pt>
                <c:pt idx="8">
                  <c:v>2167.74193548387</c:v>
                </c:pt>
                <c:pt idx="9">
                  <c:v>2317.74193548387</c:v>
                </c:pt>
                <c:pt idx="10">
                  <c:v>2467.74193548387</c:v>
                </c:pt>
                <c:pt idx="11">
                  <c:v>2617.74193548387</c:v>
                </c:pt>
                <c:pt idx="12">
                  <c:v>2767.74193548387</c:v>
                </c:pt>
                <c:pt idx="13">
                  <c:v>2917.74193548387</c:v>
                </c:pt>
                <c:pt idx="14">
                  <c:v>3067.74193548387</c:v>
                </c:pt>
                <c:pt idx="15">
                  <c:v>3217.74193548387</c:v>
                </c:pt>
                <c:pt idx="16">
                  <c:v>3367.74193548387</c:v>
                </c:pt>
                <c:pt idx="17">
                  <c:v>3517.74193548387</c:v>
                </c:pt>
                <c:pt idx="18">
                  <c:v>3667.74193548387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2271169"/>
        <c:axId val="60538565"/>
      </c:lineChart>
      <c:catAx>
        <c:axId val="422711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m2 /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538565"/>
        <c:crosses val="autoZero"/>
        <c:auto val="1"/>
        <c:lblAlgn val="ctr"/>
        <c:lblOffset val="100"/>
        <c:noMultiLvlLbl val="0"/>
      </c:catAx>
      <c:valAx>
        <c:axId val="605385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2711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51</xdr:row>
      <xdr:rowOff>39960</xdr:rowOff>
    </xdr:from>
    <xdr:to>
      <xdr:col>4</xdr:col>
      <xdr:colOff>840960</xdr:colOff>
      <xdr:row>70</xdr:row>
      <xdr:rowOff>20160</xdr:rowOff>
    </xdr:to>
    <xdr:graphicFrame>
      <xdr:nvGraphicFramePr>
        <xdr:cNvPr id="0" name="Chart 1"/>
        <xdr:cNvGraphicFramePr/>
      </xdr:nvGraphicFramePr>
      <xdr:xfrm>
        <a:off x="0" y="100202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7" topLeftCell="A1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v>500</v>
      </c>
    </row>
    <row r="6" customFormat="false" ht="15" hidden="false" customHeight="false" outlineLevel="0" collapsed="false">
      <c r="A6" s="4" t="s">
        <v>5</v>
      </c>
      <c r="B6" s="5" t="n">
        <v>300</v>
      </c>
    </row>
    <row r="7" customFormat="false" ht="15" hidden="false" customHeight="false" outlineLevel="0" collapsed="false">
      <c r="A7" s="4" t="s">
        <v>6</v>
      </c>
      <c r="B7" s="6" t="n">
        <v>30000000</v>
      </c>
    </row>
    <row r="8" customFormat="false" ht="15" hidden="false" customHeight="false" outlineLevel="0" collapsed="false">
      <c r="A8" s="4" t="s">
        <v>7</v>
      </c>
      <c r="B8" s="7" t="n">
        <v>31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4" t="s">
        <v>9</v>
      </c>
      <c r="B11" s="8" t="n">
        <f aca="false">B5-B6</f>
        <v>200</v>
      </c>
    </row>
    <row r="12" customFormat="false" ht="15" hidden="false" customHeight="false" outlineLevel="0" collapsed="false">
      <c r="A12" s="4" t="s">
        <v>10</v>
      </c>
      <c r="B12" s="9" t="n">
        <f aca="false">B7/B8</f>
        <v>967741.935483871</v>
      </c>
    </row>
    <row r="13" customFormat="false" ht="15" hidden="false" customHeight="false" outlineLevel="0" collapsed="false">
      <c r="A13" s="10" t="s">
        <v>11</v>
      </c>
      <c r="B13" s="11" t="n">
        <f aca="false">B12/B11</f>
        <v>4838.70967741935</v>
      </c>
    </row>
    <row r="14" customFormat="false" ht="15" hidden="false" customHeight="false" outlineLevel="0" collapsed="false">
      <c r="A14" s="4" t="s">
        <v>12</v>
      </c>
      <c r="B14" s="9" t="n">
        <f aca="false">B13*B5</f>
        <v>2419354.83870968</v>
      </c>
    </row>
    <row r="16" customFormat="false" ht="15" hidden="false" customHeight="false" outlineLevel="0" collapsed="false">
      <c r="A16" s="2" t="s">
        <v>13</v>
      </c>
    </row>
    <row r="17" customFormat="false" ht="26.85" hidden="false" customHeight="false" outlineLevel="0" collapsed="false">
      <c r="A17" s="12" t="s">
        <v>14</v>
      </c>
      <c r="B17" s="12" t="s">
        <v>15</v>
      </c>
      <c r="C17" s="12" t="s">
        <v>16</v>
      </c>
      <c r="D17" s="12" t="s">
        <v>17</v>
      </c>
      <c r="E17" s="12" t="s">
        <v>18</v>
      </c>
      <c r="F17" s="12" t="s">
        <v>19</v>
      </c>
      <c r="G17" s="12" t="s">
        <v>20</v>
      </c>
      <c r="H17" s="12" t="s">
        <v>21</v>
      </c>
    </row>
    <row r="18" customFormat="false" ht="15" hidden="false" customHeight="false" outlineLevel="0" collapsed="false">
      <c r="A18" s="13" t="n">
        <v>1000</v>
      </c>
      <c r="B18" s="14" t="n">
        <f aca="false">A18*$B$5</f>
        <v>500000</v>
      </c>
      <c r="C18" s="14" t="n">
        <f aca="false">A18*$B$6</f>
        <v>300000</v>
      </c>
      <c r="D18" s="14" t="n">
        <f aca="false">B18-C18</f>
        <v>200000</v>
      </c>
      <c r="E18" s="14" t="n">
        <f aca="false">$B$12</f>
        <v>967741.935483871</v>
      </c>
      <c r="F18" s="14" t="n">
        <f aca="false">D18-E18</f>
        <v>-767741.935483871</v>
      </c>
      <c r="G18" s="15" t="n">
        <f aca="false">IF(B18=0,0,F18/B18)</f>
        <v>-1.53548387096774</v>
      </c>
      <c r="H18" s="16" t="s">
        <v>22</v>
      </c>
    </row>
    <row r="19" customFormat="false" ht="15" hidden="false" customHeight="false" outlineLevel="0" collapsed="false">
      <c r="A19" s="13" t="n">
        <v>2000</v>
      </c>
      <c r="B19" s="14" t="n">
        <f aca="false">A19*$B$5</f>
        <v>1000000</v>
      </c>
      <c r="C19" s="14" t="n">
        <f aca="false">A19*$B$6</f>
        <v>600000</v>
      </c>
      <c r="D19" s="14" t="n">
        <f aca="false">B19-C19</f>
        <v>400000</v>
      </c>
      <c r="E19" s="14" t="n">
        <f aca="false">$B$12</f>
        <v>967741.935483871</v>
      </c>
      <c r="F19" s="14" t="n">
        <f aca="false">D19-E19</f>
        <v>-567741.935483871</v>
      </c>
      <c r="G19" s="15" t="n">
        <f aca="false">IF(B19=0,0,F19/B19)</f>
        <v>-0.567741935483871</v>
      </c>
      <c r="H19" s="16" t="s">
        <v>23</v>
      </c>
    </row>
    <row r="20" customFormat="false" ht="15" hidden="false" customHeight="false" outlineLevel="0" collapsed="false">
      <c r="A20" s="13" t="n">
        <v>3000</v>
      </c>
      <c r="B20" s="14" t="n">
        <f aca="false">A20*$B$5</f>
        <v>1500000</v>
      </c>
      <c r="C20" s="14" t="n">
        <f aca="false">A20*$B$6</f>
        <v>900000</v>
      </c>
      <c r="D20" s="14" t="n">
        <f aca="false">B20-C20</f>
        <v>600000</v>
      </c>
      <c r="E20" s="14" t="n">
        <f aca="false">$B$12</f>
        <v>967741.935483871</v>
      </c>
      <c r="F20" s="14" t="n">
        <f aca="false">D20-E20</f>
        <v>-367741.935483871</v>
      </c>
      <c r="G20" s="15" t="n">
        <f aca="false">IF(B20=0,0,F20/B20)</f>
        <v>-0.245161290322581</v>
      </c>
      <c r="H20" s="16" t="s">
        <v>23</v>
      </c>
    </row>
    <row r="21" customFormat="false" ht="15" hidden="false" customHeight="false" outlineLevel="0" collapsed="false">
      <c r="A21" s="13" t="n">
        <v>4000</v>
      </c>
      <c r="B21" s="14" t="n">
        <f aca="false">A21*$B$5</f>
        <v>2000000</v>
      </c>
      <c r="C21" s="14" t="n">
        <f aca="false">A21*$B$6</f>
        <v>1200000</v>
      </c>
      <c r="D21" s="14" t="n">
        <f aca="false">B21-C21</f>
        <v>800000</v>
      </c>
      <c r="E21" s="14" t="n">
        <f aca="false">$B$12</f>
        <v>967741.935483871</v>
      </c>
      <c r="F21" s="14" t="n">
        <f aca="false">D21-E21</f>
        <v>-167741.935483871</v>
      </c>
      <c r="G21" s="15" t="n">
        <f aca="false">IF(B21=0,0,F21/B21)</f>
        <v>-0.0838709677419355</v>
      </c>
      <c r="H21" s="16" t="s">
        <v>24</v>
      </c>
    </row>
    <row r="22" customFormat="false" ht="15" hidden="false" customHeight="false" outlineLevel="0" collapsed="false">
      <c r="A22" s="17" t="n">
        <f aca="false">ROUND($B$13,0)</f>
        <v>4839</v>
      </c>
      <c r="B22" s="18" t="n">
        <f aca="false">A22*$B$5</f>
        <v>2419500</v>
      </c>
      <c r="C22" s="18" t="n">
        <f aca="false">A22*$B$6</f>
        <v>1451700</v>
      </c>
      <c r="D22" s="18" t="n">
        <f aca="false">B22-C22</f>
        <v>967800</v>
      </c>
      <c r="E22" s="18" t="n">
        <f aca="false">$B$12</f>
        <v>967741.935483871</v>
      </c>
      <c r="F22" s="18" t="n">
        <f aca="false">D22-E22</f>
        <v>58.0645161290886</v>
      </c>
      <c r="G22" s="19" t="n">
        <f aca="false">IF(B22=0,0,F22/B22)</f>
        <v>2.39985600864181E-005</v>
      </c>
      <c r="H22" s="20" t="s">
        <v>25</v>
      </c>
    </row>
    <row r="23" customFormat="false" ht="15" hidden="false" customHeight="false" outlineLevel="0" collapsed="false">
      <c r="A23" s="13" t="n">
        <v>6000</v>
      </c>
      <c r="B23" s="14" t="n">
        <f aca="false">A23*$B$5</f>
        <v>3000000</v>
      </c>
      <c r="C23" s="14" t="n">
        <f aca="false">A23*$B$6</f>
        <v>1800000</v>
      </c>
      <c r="D23" s="14" t="n">
        <f aca="false">B23-C23</f>
        <v>1200000</v>
      </c>
      <c r="E23" s="14" t="n">
        <f aca="false">$B$12</f>
        <v>967741.935483871</v>
      </c>
      <c r="F23" s="14" t="n">
        <f aca="false">D23-E23</f>
        <v>232258.064516129</v>
      </c>
      <c r="G23" s="15" t="n">
        <f aca="false">IF(B23=0,0,F23/B23)</f>
        <v>0.0774193548387097</v>
      </c>
      <c r="H23" s="16" t="s">
        <v>26</v>
      </c>
    </row>
    <row r="24" customFormat="false" ht="15" hidden="false" customHeight="false" outlineLevel="0" collapsed="false">
      <c r="A24" s="13" t="n">
        <v>8000</v>
      </c>
      <c r="B24" s="14" t="n">
        <f aca="false">A24*$B$5</f>
        <v>4000000</v>
      </c>
      <c r="C24" s="14" t="n">
        <f aca="false">A24*$B$6</f>
        <v>2400000</v>
      </c>
      <c r="D24" s="14" t="n">
        <f aca="false">B24-C24</f>
        <v>1600000</v>
      </c>
      <c r="E24" s="14" t="n">
        <f aca="false">$B$12</f>
        <v>967741.935483871</v>
      </c>
      <c r="F24" s="14" t="n">
        <f aca="false">D24-E24</f>
        <v>632258.064516129</v>
      </c>
      <c r="G24" s="15" t="n">
        <f aca="false">IF(B24=0,0,F24/B24)</f>
        <v>0.158064516129032</v>
      </c>
      <c r="H24" s="16" t="s">
        <v>27</v>
      </c>
    </row>
    <row r="26" customFormat="false" ht="15" hidden="false" customHeight="false" outlineLevel="0" collapsed="false">
      <c r="A26" s="2" t="s">
        <v>28</v>
      </c>
    </row>
    <row r="27" customFormat="false" ht="15" hidden="false" customHeight="true" outlineLevel="0" collapsed="false">
      <c r="A27" s="21" t="s">
        <v>29</v>
      </c>
      <c r="B27" s="21"/>
      <c r="C27" s="21"/>
      <c r="D27" s="21"/>
      <c r="E27" s="21"/>
      <c r="F27" s="21"/>
      <c r="G27" s="21"/>
      <c r="H27" s="21"/>
    </row>
    <row r="28" customFormat="false" ht="15" hidden="false" customHeight="false" outlineLevel="0" collapsed="false">
      <c r="A28" s="21"/>
      <c r="B28" s="21"/>
      <c r="C28" s="21"/>
      <c r="D28" s="21"/>
      <c r="E28" s="21"/>
      <c r="F28" s="21"/>
      <c r="G28" s="21"/>
      <c r="H28" s="21"/>
    </row>
    <row r="31" customFormat="false" ht="15" hidden="false" customHeight="false" outlineLevel="0" collapsed="false">
      <c r="A31" s="0" t="s">
        <v>30</v>
      </c>
    </row>
    <row r="32" customFormat="false" ht="15" hidden="false" customHeight="false" outlineLevel="0" collapsed="false">
      <c r="A32" s="0" t="s">
        <v>31</v>
      </c>
      <c r="B32" s="0" t="s">
        <v>32</v>
      </c>
      <c r="C32" s="0" t="s">
        <v>33</v>
      </c>
      <c r="D32" s="0" t="s">
        <v>34</v>
      </c>
    </row>
    <row r="33" customFormat="false" ht="15" hidden="false" customHeight="false" outlineLevel="0" collapsed="false">
      <c r="A33" s="0" t="n">
        <v>0</v>
      </c>
      <c r="B33" s="0" t="n">
        <f aca="false">A33*$B$5/1000</f>
        <v>0</v>
      </c>
      <c r="C33" s="0" t="n">
        <f aca="false">(A33*$B$6+$B$12)/1000</f>
        <v>967.741935483871</v>
      </c>
      <c r="D33" s="0" t="n">
        <f aca="false">(A33*$B$11-$B$12)/1000</f>
        <v>-967.741935483871</v>
      </c>
    </row>
    <row r="34" customFormat="false" ht="15" hidden="false" customHeight="false" outlineLevel="0" collapsed="false">
      <c r="A34" s="0" t="n">
        <v>500</v>
      </c>
      <c r="B34" s="0" t="n">
        <f aca="false">A34*$B$5/1000</f>
        <v>250</v>
      </c>
      <c r="C34" s="0" t="n">
        <f aca="false">(A34*$B$6+$B$12)/1000</f>
        <v>1117.74193548387</v>
      </c>
      <c r="D34" s="0" t="n">
        <f aca="false">(A34*$B$11-$B$12)/1000</f>
        <v>-867.741935483871</v>
      </c>
    </row>
    <row r="35" customFormat="false" ht="15" hidden="false" customHeight="false" outlineLevel="0" collapsed="false">
      <c r="A35" s="0" t="n">
        <v>1000</v>
      </c>
      <c r="B35" s="0" t="n">
        <f aca="false">A35*$B$5/1000</f>
        <v>500</v>
      </c>
      <c r="C35" s="0" t="n">
        <f aca="false">(A35*$B$6+$B$12)/1000</f>
        <v>1267.74193548387</v>
      </c>
      <c r="D35" s="0" t="n">
        <f aca="false">(A35*$B$11-$B$12)/1000</f>
        <v>-767.741935483871</v>
      </c>
    </row>
    <row r="36" customFormat="false" ht="15" hidden="false" customHeight="false" outlineLevel="0" collapsed="false">
      <c r="A36" s="0" t="n">
        <v>1500</v>
      </c>
      <c r="B36" s="0" t="n">
        <f aca="false">A36*$B$5/1000</f>
        <v>750</v>
      </c>
      <c r="C36" s="0" t="n">
        <f aca="false">(A36*$B$6+$B$12)/1000</f>
        <v>1417.74193548387</v>
      </c>
      <c r="D36" s="0" t="n">
        <f aca="false">(A36*$B$11-$B$12)/1000</f>
        <v>-667.741935483871</v>
      </c>
    </row>
    <row r="37" customFormat="false" ht="15" hidden="false" customHeight="false" outlineLevel="0" collapsed="false">
      <c r="A37" s="0" t="n">
        <v>2000</v>
      </c>
      <c r="B37" s="0" t="n">
        <f aca="false">A37*$B$5/1000</f>
        <v>1000</v>
      </c>
      <c r="C37" s="0" t="n">
        <f aca="false">(A37*$B$6+$B$12)/1000</f>
        <v>1567.74193548387</v>
      </c>
      <c r="D37" s="0" t="n">
        <f aca="false">(A37*$B$11-$B$12)/1000</f>
        <v>-567.741935483871</v>
      </c>
    </row>
    <row r="38" customFormat="false" ht="15" hidden="false" customHeight="false" outlineLevel="0" collapsed="false">
      <c r="A38" s="0" t="n">
        <v>2500</v>
      </c>
      <c r="B38" s="0" t="n">
        <f aca="false">A38*$B$5/1000</f>
        <v>1250</v>
      </c>
      <c r="C38" s="0" t="n">
        <f aca="false">(A38*$B$6+$B$12)/1000</f>
        <v>1717.74193548387</v>
      </c>
      <c r="D38" s="0" t="n">
        <f aca="false">(A38*$B$11-$B$12)/1000</f>
        <v>-467.741935483871</v>
      </c>
    </row>
    <row r="39" customFormat="false" ht="15" hidden="false" customHeight="false" outlineLevel="0" collapsed="false">
      <c r="A39" s="0" t="n">
        <v>3000</v>
      </c>
      <c r="B39" s="0" t="n">
        <f aca="false">A39*$B$5/1000</f>
        <v>1500</v>
      </c>
      <c r="C39" s="0" t="n">
        <f aca="false">(A39*$B$6+$B$12)/1000</f>
        <v>1867.74193548387</v>
      </c>
      <c r="D39" s="0" t="n">
        <f aca="false">(A39*$B$11-$B$12)/1000</f>
        <v>-367.741935483871</v>
      </c>
    </row>
    <row r="40" customFormat="false" ht="15" hidden="false" customHeight="false" outlineLevel="0" collapsed="false">
      <c r="A40" s="0" t="n">
        <v>3500</v>
      </c>
      <c r="B40" s="0" t="n">
        <f aca="false">A40*$B$5/1000</f>
        <v>1750</v>
      </c>
      <c r="C40" s="0" t="n">
        <f aca="false">(A40*$B$6+$B$12)/1000</f>
        <v>2017.74193548387</v>
      </c>
      <c r="D40" s="0" t="n">
        <f aca="false">(A40*$B$11-$B$12)/1000</f>
        <v>-267.741935483871</v>
      </c>
    </row>
    <row r="41" customFormat="false" ht="15" hidden="false" customHeight="false" outlineLevel="0" collapsed="false">
      <c r="A41" s="0" t="n">
        <v>4000</v>
      </c>
      <c r="B41" s="0" t="n">
        <f aca="false">A41*$B$5/1000</f>
        <v>2000</v>
      </c>
      <c r="C41" s="0" t="n">
        <f aca="false">(A41*$B$6+$B$12)/1000</f>
        <v>2167.74193548387</v>
      </c>
      <c r="D41" s="0" t="n">
        <f aca="false">(A41*$B$11-$B$12)/1000</f>
        <v>-167.741935483871</v>
      </c>
    </row>
    <row r="42" customFormat="false" ht="15" hidden="false" customHeight="false" outlineLevel="0" collapsed="false">
      <c r="A42" s="0" t="n">
        <v>4500</v>
      </c>
      <c r="B42" s="0" t="n">
        <f aca="false">A42*$B$5/1000</f>
        <v>2250</v>
      </c>
      <c r="C42" s="0" t="n">
        <f aca="false">(A42*$B$6+$B$12)/1000</f>
        <v>2317.74193548387</v>
      </c>
      <c r="D42" s="0" t="n">
        <f aca="false">(A42*$B$11-$B$12)/1000</f>
        <v>-67.7419354838709</v>
      </c>
    </row>
    <row r="43" customFormat="false" ht="15" hidden="false" customHeight="false" outlineLevel="0" collapsed="false">
      <c r="A43" s="0" t="n">
        <v>5000</v>
      </c>
      <c r="B43" s="0" t="n">
        <f aca="false">A43*$B$5/1000</f>
        <v>2500</v>
      </c>
      <c r="C43" s="0" t="n">
        <f aca="false">(A43*$B$6+$B$12)/1000</f>
        <v>2467.74193548387</v>
      </c>
      <c r="D43" s="0" t="n">
        <f aca="false">(A43*$B$11-$B$12)/1000</f>
        <v>32.2580645161291</v>
      </c>
    </row>
    <row r="44" customFormat="false" ht="15" hidden="false" customHeight="false" outlineLevel="0" collapsed="false">
      <c r="A44" s="0" t="n">
        <v>5500</v>
      </c>
      <c r="B44" s="0" t="n">
        <f aca="false">A44*$B$5/1000</f>
        <v>2750</v>
      </c>
      <c r="C44" s="0" t="n">
        <f aca="false">(A44*$B$6+$B$12)/1000</f>
        <v>2617.74193548387</v>
      </c>
      <c r="D44" s="0" t="n">
        <f aca="false">(A44*$B$11-$B$12)/1000</f>
        <v>132.258064516129</v>
      </c>
    </row>
    <row r="45" customFormat="false" ht="15" hidden="false" customHeight="false" outlineLevel="0" collapsed="false">
      <c r="A45" s="0" t="n">
        <v>6000</v>
      </c>
      <c r="B45" s="0" t="n">
        <f aca="false">A45*$B$5/1000</f>
        <v>3000</v>
      </c>
      <c r="C45" s="0" t="n">
        <f aca="false">(A45*$B$6+$B$12)/1000</f>
        <v>2767.74193548387</v>
      </c>
      <c r="D45" s="0" t="n">
        <f aca="false">(A45*$B$11-$B$12)/1000</f>
        <v>232.258064516129</v>
      </c>
    </row>
    <row r="46" customFormat="false" ht="15" hidden="false" customHeight="false" outlineLevel="0" collapsed="false">
      <c r="A46" s="0" t="n">
        <v>6500</v>
      </c>
      <c r="B46" s="0" t="n">
        <f aca="false">A46*$B$5/1000</f>
        <v>3250</v>
      </c>
      <c r="C46" s="0" t="n">
        <f aca="false">(A46*$B$6+$B$12)/1000</f>
        <v>2917.74193548387</v>
      </c>
      <c r="D46" s="0" t="n">
        <f aca="false">(A46*$B$11-$B$12)/1000</f>
        <v>332.258064516129</v>
      </c>
    </row>
    <row r="47" customFormat="false" ht="15" hidden="false" customHeight="false" outlineLevel="0" collapsed="false">
      <c r="A47" s="0" t="n">
        <v>7000</v>
      </c>
      <c r="B47" s="0" t="n">
        <f aca="false">A47*$B$5/1000</f>
        <v>3500</v>
      </c>
      <c r="C47" s="0" t="n">
        <f aca="false">(A47*$B$6+$B$12)/1000</f>
        <v>3067.74193548387</v>
      </c>
      <c r="D47" s="0" t="n">
        <f aca="false">(A47*$B$11-$B$12)/1000</f>
        <v>432.258064516129</v>
      </c>
    </row>
    <row r="48" customFormat="false" ht="15" hidden="false" customHeight="false" outlineLevel="0" collapsed="false">
      <c r="A48" s="0" t="n">
        <v>7500</v>
      </c>
      <c r="B48" s="0" t="n">
        <f aca="false">A48*$B$5/1000</f>
        <v>3750</v>
      </c>
      <c r="C48" s="0" t="n">
        <f aca="false">(A48*$B$6+$B$12)/1000</f>
        <v>3217.74193548387</v>
      </c>
      <c r="D48" s="0" t="n">
        <f aca="false">(A48*$B$11-$B$12)/1000</f>
        <v>532.258064516129</v>
      </c>
    </row>
    <row r="49" customFormat="false" ht="15" hidden="false" customHeight="false" outlineLevel="0" collapsed="false">
      <c r="A49" s="0" t="n">
        <v>8000</v>
      </c>
      <c r="B49" s="0" t="n">
        <f aca="false">A49*$B$5/1000</f>
        <v>4000</v>
      </c>
      <c r="C49" s="0" t="n">
        <f aca="false">(A49*$B$6+$B$12)/1000</f>
        <v>3367.74193548387</v>
      </c>
      <c r="D49" s="0" t="n">
        <f aca="false">(A49*$B$11-$B$12)/1000</f>
        <v>632.258064516129</v>
      </c>
    </row>
    <row r="50" customFormat="false" ht="15" hidden="false" customHeight="false" outlineLevel="0" collapsed="false">
      <c r="A50" s="0" t="n">
        <v>8500</v>
      </c>
      <c r="B50" s="0" t="n">
        <f aca="false">A50*$B$5/1000</f>
        <v>4250</v>
      </c>
      <c r="C50" s="0" t="n">
        <f aca="false">(A50*$B$6+$B$12)/1000</f>
        <v>3517.74193548387</v>
      </c>
      <c r="D50" s="0" t="n">
        <f aca="false">(A50*$B$11-$B$12)/1000</f>
        <v>732.258064516129</v>
      </c>
    </row>
    <row r="51" customFormat="false" ht="15" hidden="false" customHeight="false" outlineLevel="0" collapsed="false">
      <c r="A51" s="0" t="n">
        <v>9000</v>
      </c>
      <c r="B51" s="0" t="n">
        <f aca="false">A51*$B$5/1000</f>
        <v>4500</v>
      </c>
      <c r="C51" s="0" t="n">
        <f aca="false">(A51*$B$6+$B$12)/1000</f>
        <v>3667.74193548387</v>
      </c>
      <c r="D51" s="0" t="n">
        <f aca="false">(A51*$B$11-$B$12)/1000</f>
        <v>832.258064516129</v>
      </c>
    </row>
  </sheetData>
  <mergeCells count="2">
    <mergeCell ref="A1:H1"/>
    <mergeCell ref="A27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2026-09-15T02:26:12Z</dcterms:created>
  <dc:creator>openpyxl</dc:creator>
  <dc:description/>
  <dc:language>en-US</dc:language>
  <cp:lastModifiedBy/>
  <dcterms:modified xsi:type="dcterms:W3CDTF">2026-09-15T02:26:16Z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