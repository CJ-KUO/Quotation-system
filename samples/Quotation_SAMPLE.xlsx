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4792" windowHeight="14856" tabRatio="600" firstSheet="0" activeTab="0" autoFilterDateGrouping="1"/>
  </bookViews>
  <sheets>
    <sheet xmlns:r="http://schemas.openxmlformats.org/officeDocument/2006/relationships" name="CU263802" sheetId="1" state="visible" r:id="rId1"/>
  </sheets>
  <definedNames>
    <definedName name="valuevx">42.314159</definedName>
    <definedName name="vertex42_copyright" hidden="1">"© 2010-2014 Vertex42 LLC"</definedName>
    <definedName name="vertex42_id" hidden="1">"quote-template.xlsx"</definedName>
    <definedName name="vertex42_title" hidden="1">"Price Quote Template"</definedName>
    <definedName name="_xlnm.Print_Area" localSheetId="0">'CU263802'!$A$1:$I$53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(&quot;$&quot;* #,##0.00_);_(&quot;$&quot;* \(#,##0.00\);_(&quot;$&quot;* &quot;-&quot;??_);_(@_)"/>
    <numFmt numFmtId="165" formatCode="0.0"/>
    <numFmt numFmtId="166" formatCode="_-&quot;$&quot;* #,##0.00_-;\-&quot;$&quot;* #,##0.00_-;_-&quot;$&quot;* &quot;-&quot;??_-;_-@_-"/>
    <numFmt numFmtId="167" formatCode="_-&quot;$&quot;* #,##0.0_-;\-&quot;$&quot;* #,##0.0_-;_-&quot;$&quot;* &quot;-&quot;?_-;_-@_-"/>
    <numFmt numFmtId="168" formatCode="_-&quot;$&quot;* #,##0_-;\-&quot;$&quot;* #,##0_-;_-&quot;$&quot;* &quot;-&quot;??_-;_-@_-"/>
    <numFmt numFmtId="169" formatCode="_-&quot;$&quot;* #,##0_-;\-&quot;$&quot;* #,##0_-;_-&quot;$&quot;* &quot;-&quot;?_-;_-@_-"/>
    <numFmt numFmtId="170" formatCode="_-&quot;$&quot;* #,##0.00_-;\-&quot;$&quot;* #,##0.00_-;_-&quot;$&quot;* &quot;-&quot;?_-;_-@_-"/>
    <numFmt numFmtId="171" formatCode="0.0%"/>
  </numFmts>
  <fonts count="2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0"/>
      <sz val="12"/>
      <u val="single"/>
      <scheme val="minor"/>
    </font>
    <font>
      <name val="Trebuchet MS"/>
      <family val="2"/>
      <sz val="10"/>
    </font>
    <font>
      <name val="Verdana"/>
      <family val="2"/>
      <sz val="10"/>
    </font>
    <font>
      <name val="Arial"/>
      <family val="2"/>
      <color indexed="12"/>
      <sz val="10"/>
      <u val="single"/>
    </font>
    <font>
      <name val="Arial"/>
      <family val="2"/>
      <b val="1"/>
      <color theme="3"/>
      <sz val="9"/>
    </font>
    <font>
      <name val="Arial"/>
      <family val="2"/>
      <b val="1"/>
      <color theme="1"/>
      <sz val="16"/>
    </font>
    <font>
      <name val="Arial"/>
      <family val="2"/>
      <b val="1"/>
      <color theme="1"/>
      <sz val="14"/>
    </font>
    <font>
      <name val="Arial"/>
      <family val="2"/>
      <sz val="10"/>
    </font>
    <font>
      <name val="Arial"/>
      <family val="2"/>
      <sz val="8"/>
    </font>
    <font>
      <name val="Arial"/>
      <family val="2"/>
      <color theme="3"/>
      <sz val="10"/>
    </font>
    <font>
      <name val="Arial"/>
      <family val="2"/>
      <b val="1"/>
      <color indexed="9"/>
      <sz val="11"/>
    </font>
    <font>
      <name val="Arial"/>
      <family val="2"/>
      <color theme="10"/>
      <sz val="12"/>
      <u val="single"/>
    </font>
    <font>
      <name val="Arial"/>
      <family val="2"/>
      <color indexed="9"/>
      <sz val="11"/>
    </font>
    <font>
      <name val="Arial"/>
      <family val="2"/>
      <b val="1"/>
      <color indexed="9"/>
      <sz val="10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b val="1"/>
      <sz val="12"/>
    </font>
    <font>
      <name val="新細明體"/>
      <charset val="136"/>
      <family val="2"/>
      <color theme="1"/>
      <sz val="12"/>
      <scheme val="minor"/>
    </font>
    <font>
      <name val="Arial"/>
      <charset val="1"/>
      <family val="2"/>
      <sz val="10"/>
    </font>
    <font>
      <name val="Arial"/>
      <family val="2"/>
      <color rgb="FFFF0000"/>
      <sz val="10"/>
    </font>
    <font>
      <name val="細明體"/>
      <charset val="136"/>
      <family val="3"/>
      <sz val="10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6">
    <xf numFmtId="0" fontId="21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43" fontId="4" fillId="0" borderId="0"/>
    <xf numFmtId="0" fontId="5" fillId="0" borderId="0" applyAlignment="1" applyProtection="1">
      <alignment vertical="top"/>
      <protection locked="0" hidden="0"/>
    </xf>
    <xf numFmtId="44" fontId="21" fillId="0" borderId="0" applyAlignment="1">
      <alignment vertical="center"/>
    </xf>
  </cellStyleXfs>
  <cellXfs count="15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2">
      <alignment vertical="center"/>
    </xf>
    <xf numFmtId="0" fontId="9" fillId="0" borderId="0" pivotButton="0" quotePrefix="0" xfId="2"/>
    <xf numFmtId="0" fontId="9" fillId="0" borderId="0" applyProtection="1" pivotButton="0" quotePrefix="0" xfId="2">
      <protection locked="0" hidden="0"/>
    </xf>
    <xf numFmtId="0" fontId="10" fillId="0" borderId="0" applyAlignment="1" pivotButton="0" quotePrefix="0" xfId="3">
      <alignment horizontal="left"/>
    </xf>
    <xf numFmtId="0" fontId="9" fillId="0" borderId="0" applyAlignment="1" pivotButton="0" quotePrefix="0" xfId="2">
      <alignment horizontal="right" indent="1"/>
    </xf>
    <xf numFmtId="14" fontId="9" fillId="0" borderId="1" applyAlignment="1" applyProtection="1" pivotButton="0" quotePrefix="0" xfId="2">
      <alignment horizontal="center"/>
      <protection locked="0" hidden="0"/>
    </xf>
    <xf numFmtId="0" fontId="5" fillId="0" borderId="0" pivotButton="0" quotePrefix="0" xfId="4"/>
    <xf numFmtId="0" fontId="9" fillId="0" borderId="2" applyAlignment="1" applyProtection="1" pivotButton="0" quotePrefix="0" xfId="2">
      <alignment horizontal="center"/>
      <protection locked="0" hidden="0"/>
    </xf>
    <xf numFmtId="0" fontId="11" fillId="0" borderId="0" pivotButton="0" quotePrefix="0" xfId="2"/>
    <xf numFmtId="0" fontId="9" fillId="0" borderId="3" applyAlignment="1" applyProtection="1" pivotButton="0" quotePrefix="0" xfId="2">
      <alignment horizontal="center"/>
      <protection locked="0" hidden="0"/>
    </xf>
    <xf numFmtId="0" fontId="13" fillId="0" borderId="0" applyProtection="1" pivotButton="0" quotePrefix="0" xfId="1">
      <protection locked="0" hidden="0"/>
    </xf>
    <xf numFmtId="0" fontId="9" fillId="0" borderId="0" applyAlignment="1" pivotButton="0" quotePrefix="0" xfId="2">
      <alignment horizontal="right"/>
    </xf>
    <xf numFmtId="0" fontId="9" fillId="0" borderId="5" pivotButton="0" quotePrefix="0" xfId="2"/>
    <xf numFmtId="0" fontId="9" fillId="4" borderId="5" applyAlignment="1" applyProtection="1" pivotButton="0" quotePrefix="0" xfId="2">
      <alignment horizontal="center"/>
      <protection locked="0" hidden="0"/>
    </xf>
    <xf numFmtId="0" fontId="9" fillId="0" borderId="6" applyAlignment="1" applyProtection="1" pivotButton="0" quotePrefix="0" xfId="2">
      <alignment horizontal="center"/>
      <protection locked="0" hidden="0"/>
    </xf>
    <xf numFmtId="43" fontId="9" fillId="0" borderId="6" applyAlignment="1" applyProtection="1" pivotButton="0" quotePrefix="0" xfId="3">
      <alignment horizontal="center"/>
      <protection locked="0" hidden="0"/>
    </xf>
    <xf numFmtId="43" fontId="9" fillId="0" borderId="6" applyProtection="1" pivotButton="0" quotePrefix="0" xfId="3">
      <protection locked="0" hidden="0"/>
    </xf>
    <xf numFmtId="43" fontId="9" fillId="2" borderId="6" pivotButton="0" quotePrefix="0" xfId="3"/>
    <xf numFmtId="0" fontId="14" fillId="0" borderId="0" pivotButton="0" quotePrefix="0" xfId="2"/>
    <xf numFmtId="0" fontId="16" fillId="0" borderId="0" pivotButton="0" quotePrefix="0" xfId="2"/>
    <xf numFmtId="0" fontId="9" fillId="0" borderId="10" pivotButton="0" quotePrefix="0" xfId="2"/>
    <xf numFmtId="164" fontId="9" fillId="0" borderId="10" applyProtection="1" pivotButton="0" quotePrefix="0" xfId="2">
      <protection locked="0" hidden="0"/>
    </xf>
    <xf numFmtId="0" fontId="17" fillId="0" borderId="0" pivotButton="0" quotePrefix="0" xfId="2"/>
    <xf numFmtId="164" fontId="18" fillId="3" borderId="0" pivotButton="0" quotePrefix="0" xfId="2"/>
    <xf numFmtId="0" fontId="19" fillId="0" borderId="8" applyAlignment="1" applyProtection="1" pivotButton="0" quotePrefix="0" xfId="2">
      <alignment horizontal="left" vertical="top"/>
      <protection locked="0" hidden="0"/>
    </xf>
    <xf numFmtId="0" fontId="19" fillId="0" borderId="0" applyAlignment="1" applyProtection="1" pivotButton="0" quotePrefix="0" xfId="2">
      <alignment horizontal="left" vertical="top"/>
      <protection locked="0" hidden="0"/>
    </xf>
    <xf numFmtId="0" fontId="19" fillId="0" borderId="9" applyAlignment="1" applyProtection="1" pivotButton="0" quotePrefix="0" xfId="2">
      <alignment horizontal="left" vertical="top"/>
      <protection locked="0" hidden="0"/>
    </xf>
    <xf numFmtId="0" fontId="12" fillId="5" borderId="0" applyAlignment="1" pivotButton="0" quotePrefix="0" xfId="2">
      <alignment horizontal="left"/>
    </xf>
    <xf numFmtId="0" fontId="12" fillId="5" borderId="1" pivotButton="0" quotePrefix="0" xfId="2"/>
    <xf numFmtId="0" fontId="12" fillId="5" borderId="15" pivotButton="0" quotePrefix="0" xfId="2"/>
    <xf numFmtId="0" fontId="12" fillId="5" borderId="16" pivotButton="0" quotePrefix="0" xfId="2"/>
    <xf numFmtId="0" fontId="12" fillId="5" borderId="1" applyAlignment="1" pivotButton="0" quotePrefix="0" xfId="2">
      <alignment horizontal="left"/>
    </xf>
    <xf numFmtId="0" fontId="12" fillId="5" borderId="1" applyAlignment="1" pivotButton="0" quotePrefix="0" xfId="2">
      <alignment horizontal="center"/>
    </xf>
    <xf numFmtId="0" fontId="9" fillId="0" borderId="0" applyAlignment="1" applyProtection="1" pivotButton="0" quotePrefix="0" xfId="2">
      <alignment horizontal="left"/>
      <protection locked="0" hidden="0"/>
    </xf>
    <xf numFmtId="0" fontId="9" fillId="0" borderId="0" applyAlignment="1" pivotButton="0" quotePrefix="0" xfId="2">
      <alignment horizontal="left"/>
    </xf>
    <xf numFmtId="0" fontId="2" fillId="0" borderId="0" applyProtection="1" pivotButton="0" quotePrefix="0" xfId="1">
      <protection locked="0" hidden="0"/>
    </xf>
    <xf numFmtId="43" fontId="9" fillId="4" borderId="6" applyAlignment="1" pivotButton="0" quotePrefix="0" xfId="3">
      <alignment horizontal="center"/>
    </xf>
    <xf numFmtId="0" fontId="9" fillId="0" borderId="0" applyAlignment="1" applyProtection="1" pivotButton="0" quotePrefix="0" xfId="2">
      <alignment horizontal="left" vertical="top"/>
      <protection locked="0" hidden="0"/>
    </xf>
    <xf numFmtId="0" fontId="9" fillId="0" borderId="9" applyAlignment="1" applyProtection="1" pivotButton="0" quotePrefix="0" xfId="2">
      <alignment horizontal="left" vertical="top"/>
      <protection locked="0" hidden="0"/>
    </xf>
    <xf numFmtId="0" fontId="9" fillId="0" borderId="0" applyAlignment="1" applyProtection="1" pivotButton="0" quotePrefix="0" xfId="2">
      <alignment vertical="top"/>
      <protection locked="0" hidden="0"/>
    </xf>
    <xf numFmtId="0" fontId="9" fillId="0" borderId="9" applyAlignment="1" applyProtection="1" pivotButton="0" quotePrefix="0" xfId="2">
      <alignment vertical="top"/>
      <protection locked="0" hidden="0"/>
    </xf>
    <xf numFmtId="0" fontId="9" fillId="0" borderId="8" applyAlignment="1" applyProtection="1" pivotButton="0" quotePrefix="0" xfId="2">
      <alignment horizontal="center" vertical="top"/>
      <protection locked="0" hidden="0"/>
    </xf>
    <xf numFmtId="0" fontId="9" fillId="0" borderId="0" applyAlignment="1" pivotButton="0" quotePrefix="0" xfId="2">
      <alignment horizontal="center" vertical="center"/>
    </xf>
    <xf numFmtId="165" fontId="9" fillId="0" borderId="0" applyAlignment="1" pivotButton="0" quotePrefix="0" xfId="2">
      <alignment horizontal="center" vertical="center"/>
    </xf>
    <xf numFmtId="0" fontId="11" fillId="0" borderId="0" applyAlignment="1" pivotButton="0" quotePrefix="0" xfId="2">
      <alignment horizontal="center" vertical="center"/>
    </xf>
    <xf numFmtId="166" fontId="9" fillId="4" borderId="6" applyAlignment="1" applyProtection="1" pivotButton="0" quotePrefix="0" xfId="5">
      <alignment horizontal="center"/>
      <protection locked="0" hidden="0"/>
    </xf>
    <xf numFmtId="166" fontId="9" fillId="0" borderId="6" applyAlignment="1" applyProtection="1" pivotButton="0" quotePrefix="0" xfId="5">
      <alignment horizontal="center"/>
      <protection locked="0" hidden="0"/>
    </xf>
    <xf numFmtId="166" fontId="9" fillId="0" borderId="6" applyProtection="1" pivotButton="0" quotePrefix="0" xfId="3">
      <protection locked="0" hidden="0"/>
    </xf>
    <xf numFmtId="166" fontId="9" fillId="0" borderId="6" applyProtection="1" pivotButton="0" quotePrefix="0" xfId="5">
      <protection locked="0" hidden="0"/>
    </xf>
    <xf numFmtId="167" fontId="9" fillId="0" borderId="6" applyAlignment="1" applyProtection="1" pivotButton="0" quotePrefix="0" xfId="5">
      <alignment horizontal="right"/>
      <protection locked="0" hidden="0"/>
    </xf>
    <xf numFmtId="167" fontId="9" fillId="0" borderId="6" applyAlignment="1" applyProtection="1" pivotButton="0" quotePrefix="0" xfId="2">
      <alignment horizontal="center"/>
      <protection locked="0" hidden="0"/>
    </xf>
    <xf numFmtId="43" fontId="9" fillId="0" borderId="2" applyProtection="1" pivotButton="0" quotePrefix="0" xfId="3">
      <protection locked="0" hidden="0"/>
    </xf>
    <xf numFmtId="168" fontId="9" fillId="4" borderId="2" applyAlignment="1" applyProtection="1" pivotButton="0" quotePrefix="0" xfId="5">
      <alignment horizontal="center"/>
      <protection locked="0" hidden="0"/>
    </xf>
    <xf numFmtId="169" fontId="9" fillId="0" borderId="2" applyAlignment="1" applyProtection="1" pivotButton="0" quotePrefix="0" xfId="5">
      <alignment horizontal="right"/>
      <protection locked="0" hidden="0"/>
    </xf>
    <xf numFmtId="43" fontId="9" fillId="4" borderId="2" applyAlignment="1" pivotButton="0" quotePrefix="0" xfId="3">
      <alignment horizontal="center"/>
    </xf>
    <xf numFmtId="0" fontId="9" fillId="0" borderId="7" applyAlignment="1" applyProtection="1" pivotButton="0" quotePrefix="0" xfId="2">
      <alignment horizontal="center"/>
      <protection locked="0" hidden="0"/>
    </xf>
    <xf numFmtId="0" fontId="9" fillId="0" borderId="19" pivotButton="0" quotePrefix="0" xfId="2"/>
    <xf numFmtId="43" fontId="9" fillId="0" borderId="7" applyProtection="1" pivotButton="0" quotePrefix="0" xfId="3">
      <protection locked="0" hidden="0"/>
    </xf>
    <xf numFmtId="168" fontId="9" fillId="0" borderId="7" applyProtection="1" pivotButton="0" quotePrefix="0" xfId="3">
      <protection locked="0" hidden="0"/>
    </xf>
    <xf numFmtId="164" fontId="9" fillId="0" borderId="0" pivotButton="0" quotePrefix="0" xfId="2"/>
    <xf numFmtId="43" fontId="9" fillId="4" borderId="7" applyAlignment="1" pivotButton="0" quotePrefix="0" xfId="3">
      <alignment horizontal="center"/>
    </xf>
    <xf numFmtId="49" fontId="9" fillId="0" borderId="4" applyAlignment="1" applyProtection="1" pivotButton="0" quotePrefix="0" xfId="2">
      <alignment horizontal="center"/>
      <protection locked="0" hidden="0"/>
    </xf>
    <xf numFmtId="49" fontId="9" fillId="0" borderId="6" applyProtection="1" pivotButton="0" quotePrefix="0" xfId="2">
      <protection locked="0" hidden="0"/>
    </xf>
    <xf numFmtId="49" fontId="9" fillId="0" borderId="6" applyAlignment="1" applyProtection="1" pivotButton="0" quotePrefix="0" xfId="2">
      <alignment horizontal="center"/>
      <protection locked="0" hidden="0"/>
    </xf>
    <xf numFmtId="49" fontId="9" fillId="0" borderId="2" applyAlignment="1" applyProtection="1" pivotButton="0" quotePrefix="0" xfId="2">
      <alignment horizontal="center"/>
      <protection locked="0" hidden="0"/>
    </xf>
    <xf numFmtId="0" fontId="9" fillId="0" borderId="5" applyAlignment="1" applyProtection="1" pivotButton="0" quotePrefix="0" xfId="2">
      <alignment horizontal="left"/>
      <protection locked="0" hidden="0"/>
    </xf>
    <xf numFmtId="170" fontId="9" fillId="0" borderId="6" applyAlignment="1" applyProtection="1" pivotButton="0" quotePrefix="0" xfId="5">
      <alignment horizontal="right"/>
      <protection locked="0" hidden="0"/>
    </xf>
    <xf numFmtId="170" fontId="9" fillId="0" borderId="6" applyAlignment="1" applyProtection="1" pivotButton="0" quotePrefix="0" xfId="2">
      <alignment horizontal="center"/>
      <protection locked="0" hidden="0"/>
    </xf>
    <xf numFmtId="171" fontId="9" fillId="0" borderId="0" applyProtection="1" pivotButton="0" quotePrefix="0" xfId="2">
      <protection locked="0" hidden="0"/>
    </xf>
    <xf numFmtId="9" fontId="9" fillId="0" borderId="0" pivotButton="0" quotePrefix="0" xfId="2"/>
    <xf numFmtId="0" fontId="9" fillId="0" borderId="4" applyAlignment="1" applyProtection="1" pivotButton="0" quotePrefix="0" xfId="2">
      <alignment horizontal="left"/>
      <protection locked="0" hidden="0"/>
    </xf>
    <xf numFmtId="43" fontId="9" fillId="4" borderId="6" applyAlignment="1" pivotButton="0" quotePrefix="0" xfId="3">
      <alignment horizontal="left"/>
    </xf>
    <xf numFmtId="166" fontId="23" fillId="4" borderId="6" applyAlignment="1" applyProtection="1" pivotButton="0" quotePrefix="0" xfId="5">
      <alignment horizontal="center"/>
      <protection locked="0" hidden="0"/>
    </xf>
    <xf numFmtId="170" fontId="23" fillId="0" borderId="6" applyAlignment="1" applyProtection="1" pivotButton="0" quotePrefix="0" xfId="2">
      <alignment horizontal="center"/>
      <protection locked="0" hidden="0"/>
    </xf>
    <xf numFmtId="0" fontId="9" fillId="0" borderId="4" applyAlignment="1" applyProtection="1" pivotButton="0" quotePrefix="0" xfId="2">
      <alignment horizontal="left"/>
      <protection locked="0" hidden="0"/>
    </xf>
    <xf numFmtId="0" fontId="9" fillId="0" borderId="5" applyAlignment="1" applyProtection="1" pivotButton="0" quotePrefix="0" xfId="2">
      <alignment horizontal="left"/>
      <protection locked="0" hidden="0"/>
    </xf>
    <xf numFmtId="0" fontId="22" fillId="0" borderId="17" applyAlignment="1" applyProtection="1" pivotButton="0" quotePrefix="0" xfId="2">
      <alignment horizontal="left"/>
      <protection locked="0" hidden="0"/>
    </xf>
    <xf numFmtId="0" fontId="9" fillId="0" borderId="18" applyAlignment="1" applyProtection="1" pivotButton="0" quotePrefix="0" xfId="2">
      <alignment horizontal="left"/>
      <protection locked="0" hidden="0"/>
    </xf>
    <xf numFmtId="0" fontId="22" fillId="0" borderId="4" applyAlignment="1" applyProtection="1" pivotButton="0" quotePrefix="0" xfId="2">
      <alignment horizontal="left"/>
      <protection locked="0" hidden="0"/>
    </xf>
    <xf numFmtId="0" fontId="19" fillId="0" borderId="8" applyAlignment="1" applyProtection="1" pivotButton="0" quotePrefix="0" xfId="2">
      <alignment horizontal="left" vertical="top"/>
      <protection locked="0" hidden="0"/>
    </xf>
    <xf numFmtId="0" fontId="19" fillId="0" borderId="0" applyAlignment="1" applyProtection="1" pivotButton="0" quotePrefix="0" xfId="2">
      <alignment horizontal="left" vertical="top"/>
      <protection locked="0" hidden="0"/>
    </xf>
    <xf numFmtId="0" fontId="19" fillId="0" borderId="9" applyAlignment="1" applyProtection="1" pivotButton="0" quotePrefix="0" xfId="2">
      <alignment horizontal="left" vertical="top"/>
      <protection locked="0" hidden="0"/>
    </xf>
    <xf numFmtId="0" fontId="19" fillId="0" borderId="0" applyAlignment="1" applyProtection="1" pivotButton="0" quotePrefix="0" xfId="2">
      <alignment horizontal="center"/>
      <protection locked="0" hidden="0"/>
    </xf>
    <xf numFmtId="0" fontId="20" fillId="0" borderId="0" applyAlignment="1" pivotButton="0" quotePrefix="0" xfId="2">
      <alignment horizontal="center"/>
    </xf>
    <xf numFmtId="0" fontId="18" fillId="0" borderId="8" applyAlignment="1" applyProtection="1" pivotButton="0" quotePrefix="0" xfId="2">
      <alignment horizontal="left" vertical="top"/>
      <protection locked="0" hidden="0"/>
    </xf>
    <xf numFmtId="0" fontId="18" fillId="0" borderId="0" applyAlignment="1" applyProtection="1" pivotButton="0" quotePrefix="0" xfId="2">
      <alignment horizontal="left" vertical="top"/>
      <protection locked="0" hidden="0"/>
    </xf>
    <xf numFmtId="0" fontId="18" fillId="0" borderId="9" applyAlignment="1" applyProtection="1" pivotButton="0" quotePrefix="0" xfId="2">
      <alignment horizontal="left" vertical="top"/>
      <protection locked="0" hidden="0"/>
    </xf>
    <xf numFmtId="0" fontId="9" fillId="0" borderId="0" applyAlignment="1" pivotButton="0" quotePrefix="0" xfId="2">
      <alignment horizontal="center" vertical="top"/>
    </xf>
    <xf numFmtId="0" fontId="9" fillId="0" borderId="8" applyAlignment="1" applyProtection="1" pivotButton="0" quotePrefix="0" xfId="2">
      <alignment horizontal="left" vertical="top"/>
      <protection locked="0" hidden="0"/>
    </xf>
    <xf numFmtId="0" fontId="9" fillId="0" borderId="0" applyAlignment="1" applyProtection="1" pivotButton="0" quotePrefix="0" xfId="2">
      <alignment horizontal="left" vertical="top"/>
      <protection locked="0" hidden="0"/>
    </xf>
    <xf numFmtId="0" fontId="9" fillId="0" borderId="9" applyAlignment="1" applyProtection="1" pivotButton="0" quotePrefix="0" xfId="2">
      <alignment horizontal="left" vertical="top"/>
      <protection locked="0" hidden="0"/>
    </xf>
    <xf numFmtId="0" fontId="18" fillId="0" borderId="0" applyAlignment="1" applyProtection="1" pivotButton="0" quotePrefix="0" xfId="2">
      <alignment horizontal="center" vertical="top"/>
      <protection locked="0" hidden="0"/>
    </xf>
    <xf numFmtId="0" fontId="9" fillId="0" borderId="11" applyAlignment="1" applyProtection="1" pivotButton="0" quotePrefix="0" xfId="2">
      <alignment horizontal="left" vertical="top"/>
      <protection locked="0" hidden="0"/>
    </xf>
    <xf numFmtId="0" fontId="9" fillId="0" borderId="12" applyAlignment="1" applyProtection="1" pivotButton="0" quotePrefix="0" xfId="2">
      <alignment horizontal="left" vertical="top"/>
      <protection locked="0" hidden="0"/>
    </xf>
    <xf numFmtId="0" fontId="9" fillId="0" borderId="13" applyAlignment="1" applyProtection="1" pivotButton="0" quotePrefix="0" xfId="2">
      <alignment horizontal="left" vertical="top"/>
      <protection locked="0" hidden="0"/>
    </xf>
    <xf numFmtId="0" fontId="9" fillId="0" borderId="0" applyAlignment="1" pivotButton="0" quotePrefix="0" xfId="2">
      <alignment horizontal="center"/>
    </xf>
    <xf numFmtId="0" fontId="22" fillId="0" borderId="7" applyAlignment="1" applyProtection="1" pivotButton="0" quotePrefix="0" xfId="2">
      <alignment horizontal="left"/>
      <protection locked="0" hidden="0"/>
    </xf>
    <xf numFmtId="0" fontId="9" fillId="0" borderId="7" applyAlignment="1" applyProtection="1" pivotButton="0" quotePrefix="0" xfId="2">
      <alignment horizontal="left"/>
      <protection locked="0" hidden="0"/>
    </xf>
    <xf numFmtId="0" fontId="15" fillId="5" borderId="14" applyAlignment="1" pivotButton="0" quotePrefix="0" xfId="2">
      <alignment horizontal="left"/>
    </xf>
    <xf numFmtId="0" fontId="15" fillId="5" borderId="15" applyAlignment="1" pivotButton="0" quotePrefix="0" xfId="2">
      <alignment horizontal="left"/>
    </xf>
    <xf numFmtId="0" fontId="15" fillId="5" borderId="16" applyAlignment="1" pivotButton="0" quotePrefix="0" xfId="2">
      <alignment horizontal="left"/>
    </xf>
    <xf numFmtId="0" fontId="7" fillId="0" borderId="0" applyAlignment="1" applyProtection="1" pivotButton="0" quotePrefix="0" xfId="2">
      <alignment horizontal="center" vertical="center"/>
      <protection locked="0" hidden="0"/>
    </xf>
    <xf numFmtId="0" fontId="8" fillId="0" borderId="0" applyAlignment="1" applyProtection="1" pivotButton="0" quotePrefix="0" xfId="2">
      <alignment horizontal="center" vertical="center"/>
      <protection locked="0" hidden="0"/>
    </xf>
    <xf numFmtId="0" fontId="9" fillId="0" borderId="0" applyAlignment="1" applyProtection="1" pivotButton="0" quotePrefix="0" xfId="2">
      <alignment horizontal="left" wrapText="1"/>
      <protection locked="0" hidden="0"/>
    </xf>
    <xf numFmtId="0" fontId="24" fillId="0" borderId="0" pivotButton="0" quotePrefix="0" xfId="2"/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6" fontId="9" fillId="4" borderId="6" applyAlignment="1" applyProtection="1" pivotButton="0" quotePrefix="0" xfId="5">
      <alignment horizontal="center"/>
      <protection locked="0" hidden="0"/>
    </xf>
    <xf numFmtId="170" fontId="9" fillId="0" borderId="6" applyAlignment="1" applyProtection="1" pivotButton="0" quotePrefix="0" xfId="5">
      <alignment horizontal="right"/>
      <protection locked="0" hidden="0"/>
    </xf>
    <xf numFmtId="43" fontId="9" fillId="4" borderId="6" applyAlignment="1" pivotButton="0" quotePrefix="0" xfId="3">
      <alignment horizontal="left"/>
    </xf>
    <xf numFmtId="165" fontId="9" fillId="0" borderId="0" applyAlignment="1" pivotButton="0" quotePrefix="0" xfId="2">
      <alignment horizontal="center" vertical="center"/>
    </xf>
    <xf numFmtId="0" fontId="9" fillId="0" borderId="6" applyAlignment="1" applyProtection="1" pivotButton="0" quotePrefix="0" xfId="2">
      <alignment horizontal="left"/>
      <protection locked="0" hidden="0"/>
    </xf>
    <xf numFmtId="0" fontId="0" fillId="0" borderId="5" applyProtection="1" pivotButton="0" quotePrefix="0" xfId="0">
      <protection locked="0" hidden="0"/>
    </xf>
    <xf numFmtId="43" fontId="9" fillId="0" borderId="6" applyProtection="1" pivotButton="0" quotePrefix="0" xfId="3">
      <protection locked="0" hidden="0"/>
    </xf>
    <xf numFmtId="166" fontId="9" fillId="0" borderId="6" applyProtection="1" pivotButton="0" quotePrefix="0" xfId="3">
      <protection locked="0" hidden="0"/>
    </xf>
    <xf numFmtId="170" fontId="9" fillId="0" borderId="6" applyAlignment="1" applyProtection="1" pivotButton="0" quotePrefix="0" xfId="2">
      <alignment horizontal="center"/>
      <protection locked="0" hidden="0"/>
    </xf>
    <xf numFmtId="43" fontId="9" fillId="2" borderId="6" pivotButton="0" quotePrefix="0" xfId="3"/>
    <xf numFmtId="43" fontId="9" fillId="4" borderId="6" applyAlignment="1" pivotButton="0" quotePrefix="0" xfId="3">
      <alignment horizontal="center"/>
    </xf>
    <xf numFmtId="0" fontId="22" fillId="0" borderId="6" applyAlignment="1" applyProtection="1" pivotButton="0" quotePrefix="0" xfId="2">
      <alignment horizontal="left"/>
      <protection locked="0" hidden="0"/>
    </xf>
    <xf numFmtId="167" fontId="9" fillId="0" borderId="6" applyAlignment="1" applyProtection="1" pivotButton="0" quotePrefix="0" xfId="2">
      <alignment horizontal="center"/>
      <protection locked="0" hidden="0"/>
    </xf>
    <xf numFmtId="166" fontId="23" fillId="4" borderId="6" applyAlignment="1" applyProtection="1" pivotButton="0" quotePrefix="0" xfId="5">
      <alignment horizontal="center"/>
      <protection locked="0" hidden="0"/>
    </xf>
    <xf numFmtId="170" fontId="23" fillId="0" borderId="6" applyAlignment="1" applyProtection="1" pivotButton="0" quotePrefix="0" xfId="2">
      <alignment horizontal="center"/>
      <protection locked="0" hidden="0"/>
    </xf>
    <xf numFmtId="166" fontId="9" fillId="0" borderId="6" applyProtection="1" pivotButton="0" quotePrefix="0" xfId="5">
      <protection locked="0" hidden="0"/>
    </xf>
    <xf numFmtId="167" fontId="9" fillId="0" borderId="6" applyAlignment="1" applyProtection="1" pivotButton="0" quotePrefix="0" xfId="5">
      <alignment horizontal="right"/>
      <protection locked="0" hidden="0"/>
    </xf>
    <xf numFmtId="43" fontId="9" fillId="0" borderId="6" applyAlignment="1" applyProtection="1" pivotButton="0" quotePrefix="0" xfId="3">
      <alignment horizontal="center"/>
      <protection locked="0" hidden="0"/>
    </xf>
    <xf numFmtId="166" fontId="9" fillId="0" borderId="6" applyAlignment="1" applyProtection="1" pivotButton="0" quotePrefix="0" xfId="5">
      <alignment horizontal="center"/>
      <protection locked="0" hidden="0"/>
    </xf>
    <xf numFmtId="0" fontId="22" fillId="0" borderId="2" applyAlignment="1" applyProtection="1" pivotButton="0" quotePrefix="0" xfId="2">
      <alignment horizontal="left"/>
      <protection locked="0" hidden="0"/>
    </xf>
    <xf numFmtId="0" fontId="0" fillId="0" borderId="18" applyProtection="1" pivotButton="0" quotePrefix="0" xfId="0">
      <protection locked="0" hidden="0"/>
    </xf>
    <xf numFmtId="43" fontId="9" fillId="0" borderId="2" applyProtection="1" pivotButton="0" quotePrefix="0" xfId="3">
      <protection locked="0" hidden="0"/>
    </xf>
    <xf numFmtId="168" fontId="9" fillId="4" borderId="2" applyAlignment="1" applyProtection="1" pivotButton="0" quotePrefix="0" xfId="5">
      <alignment horizontal="center"/>
      <protection locked="0" hidden="0"/>
    </xf>
    <xf numFmtId="169" fontId="9" fillId="0" borderId="2" applyAlignment="1" applyProtection="1" pivotButton="0" quotePrefix="0" xfId="5">
      <alignment horizontal="right"/>
      <protection locked="0" hidden="0"/>
    </xf>
    <xf numFmtId="43" fontId="9" fillId="4" borderId="2" applyAlignment="1" pivotButton="0" quotePrefix="0" xfId="3">
      <alignment horizontal="center"/>
    </xf>
    <xf numFmtId="0" fontId="0" fillId="0" borderId="7" applyProtection="1" pivotButton="0" quotePrefix="0" xfId="0">
      <protection locked="0" hidden="0"/>
    </xf>
    <xf numFmtId="43" fontId="9" fillId="0" borderId="7" applyProtection="1" pivotButton="0" quotePrefix="0" xfId="3">
      <protection locked="0" hidden="0"/>
    </xf>
    <xf numFmtId="168" fontId="9" fillId="0" borderId="7" applyProtection="1" pivotButton="0" quotePrefix="0" xfId="3">
      <protection locked="0" hidden="0"/>
    </xf>
    <xf numFmtId="43" fontId="9" fillId="4" borderId="7" applyAlignment="1" pivotButton="0" quotePrefix="0" xfId="3">
      <alignment horizontal="center"/>
    </xf>
    <xf numFmtId="0" fontId="15" fillId="5" borderId="1" applyAlignment="1" pivotButton="0" quotePrefix="0" xfId="2">
      <alignment horizontal="left"/>
    </xf>
    <xf numFmtId="0" fontId="0" fillId="0" borderId="15" pivotButton="0" quotePrefix="0" xfId="0"/>
    <xf numFmtId="0" fontId="0" fillId="0" borderId="16" pivotButton="0" quotePrefix="0" xfId="0"/>
    <xf numFmtId="164" fontId="9" fillId="0" borderId="0" pivotButton="0" quotePrefix="0" xfId="2"/>
    <xf numFmtId="171" fontId="9" fillId="0" borderId="0" applyProtection="1" pivotButton="0" quotePrefix="0" xfId="2">
      <protection locked="0" hidden="0"/>
    </xf>
    <xf numFmtId="164" fontId="9" fillId="0" borderId="10" applyProtection="1" pivotButton="0" quotePrefix="0" xfId="2">
      <protection locked="0" hidden="0"/>
    </xf>
    <xf numFmtId="164" fontId="18" fillId="3" borderId="0" pivotButton="0" quotePrefix="0" xfId="2"/>
    <xf numFmtId="0" fontId="19" fillId="0" borderId="21" applyAlignment="1" applyProtection="1" pivotButton="0" quotePrefix="0" xfId="2">
      <alignment horizontal="left" vertical="top"/>
      <protection locked="0" hidden="0"/>
    </xf>
    <xf numFmtId="0" fontId="0" fillId="0" borderId="9" applyProtection="1" pivotButton="0" quotePrefix="0" xfId="0">
      <protection locked="0" hidden="0"/>
    </xf>
    <xf numFmtId="0" fontId="18" fillId="0" borderId="21" applyAlignment="1" applyProtection="1" pivotButton="0" quotePrefix="0" xfId="2">
      <alignment horizontal="left" vertical="top"/>
      <protection locked="0" hidden="0"/>
    </xf>
    <xf numFmtId="0" fontId="9" fillId="0" borderId="21" applyAlignment="1" applyProtection="1" pivotButton="0" quotePrefix="0" xfId="2">
      <alignment horizontal="left" vertical="top"/>
      <protection locked="0" hidden="0"/>
    </xf>
    <xf numFmtId="0" fontId="9" fillId="0" borderId="22" applyAlignment="1" applyProtection="1" pivotButton="0" quotePrefix="0" xfId="2">
      <alignment horizontal="left" vertical="top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</cellXfs>
  <cellStyles count="6">
    <cellStyle name="一般" xfId="0" builtinId="0"/>
    <cellStyle name="超連結" xfId="1" builtinId="8"/>
    <cellStyle name="一般 2" xfId="2"/>
    <cellStyle name="千分位 2" xfId="3"/>
    <cellStyle name="超連結 2" xfId="4"/>
    <cellStyle name="貨幣" xfId="5" builtinId="4"/>
  </cellStyles>
  <dxfs count="8"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</col>
      <colOff>1219200</colOff>
      <row>0</row>
      <rowOff>106680</rowOff>
    </from>
    <to>
      <col>5</col>
      <colOff>787400</colOff>
      <row>2</row>
      <rowOff>6096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63700" y="106680"/>
          <a:ext cx="4095750" cy="4074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noor.ulhassan@fortescue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P51"/>
  <sheetViews>
    <sheetView showGridLines="0" tabSelected="1" topLeftCell="A2" zoomScaleNormal="100" workbookViewId="0">
      <selection activeCell="I20" sqref="I20"/>
    </sheetView>
  </sheetViews>
  <sheetFormatPr baseColWidth="8" defaultColWidth="9.109375" defaultRowHeight="13.2"/>
  <cols>
    <col width="2.44140625" customWidth="1" style="2" min="1" max="1"/>
    <col width="4.21875" customWidth="1" style="2" min="2" max="2"/>
    <col width="29.44140625" customWidth="1" style="2" min="3" max="3"/>
    <col width="29.5546875" customWidth="1" style="2" min="4" max="4"/>
    <col width="5.77734375" customWidth="1" style="2" min="5" max="5"/>
    <col width="13.6640625" customWidth="1" style="2" min="6" max="6"/>
    <col width="8.88671875" customWidth="1" style="2" min="7" max="7"/>
    <col width="13.6640625" customWidth="1" style="2" min="8" max="8"/>
    <col width="12.44140625" customWidth="1" style="2" min="9" max="9"/>
    <col width="9.109375" customWidth="1" style="2" min="10" max="10"/>
    <col width="7.88671875" customWidth="1" style="2" min="11" max="11"/>
    <col width="9.109375" customWidth="1" style="2" min="12" max="16384"/>
  </cols>
  <sheetData>
    <row r="2" ht="27.6" customHeight="1" s="106">
      <c r="B2" s="102" t="n"/>
      <c r="C2" s="107" t="n"/>
      <c r="D2" s="107" t="n"/>
      <c r="E2" s="107" t="n"/>
      <c r="F2" s="107" t="n"/>
      <c r="G2" s="107" t="n"/>
      <c r="H2" s="107" t="n"/>
      <c r="I2" s="107" t="n"/>
    </row>
    <row r="3" ht="21.6" customHeight="1" s="106">
      <c r="B3" s="103" t="inlineStr">
        <is>
          <t>QUOTATION</t>
        </is>
      </c>
      <c r="C3" s="107" t="n"/>
      <c r="D3" s="107" t="n"/>
      <c r="E3" s="107" t="n"/>
      <c r="F3" s="107" t="n"/>
      <c r="G3" s="107" t="n"/>
      <c r="H3" s="107" t="n"/>
      <c r="I3" s="107" t="n"/>
    </row>
    <row r="4" ht="17.4" customHeight="1" s="106">
      <c r="B4" s="104" t="inlineStr">
        <is>
          <t xml:space="preserve">No. 27, Wuquan Rd., Wugu Dist., </t>
        </is>
      </c>
      <c r="C4" s="107" t="n"/>
      <c r="D4" s="107" t="n"/>
      <c r="E4" s="3" t="n"/>
      <c r="F4" s="3" t="n"/>
      <c r="K4" s="4" t="n"/>
    </row>
    <row r="5">
      <c r="B5" s="34" t="inlineStr">
        <is>
          <t>New Taipei City, Taiwan 248016</t>
        </is>
      </c>
      <c r="C5" s="34" t="n"/>
      <c r="D5" s="35" t="n"/>
      <c r="H5" s="5" t="inlineStr">
        <is>
          <t>DATE</t>
        </is>
      </c>
      <c r="I5" s="6" t="inlineStr">
        <is>
          <t>2026/Sep/15</t>
        </is>
      </c>
      <c r="K5" s="7" t="n"/>
    </row>
    <row r="6">
      <c r="B6" s="3" t="inlineStr">
        <is>
          <t>Phone: +886 2 22281158</t>
        </is>
      </c>
      <c r="C6" s="3" t="n"/>
      <c r="H6" s="5" t="inlineStr">
        <is>
          <t>QUOTE #</t>
        </is>
      </c>
      <c r="I6" s="8" t="inlineStr">
        <is>
          <t>CU263802</t>
        </is>
      </c>
      <c r="K6" s="9" t="n"/>
    </row>
    <row r="7">
      <c r="B7" s="3" t="inlineStr">
        <is>
          <t>Prepared by: Leon Kuo</t>
        </is>
      </c>
      <c r="C7" s="3" t="n"/>
      <c r="H7" s="5" t="inlineStr">
        <is>
          <t>CUSTOMER ID</t>
        </is>
      </c>
      <c r="I7" s="10" t="inlineStr">
        <is>
          <t>Fortescue</t>
        </is>
      </c>
      <c r="K7" s="9" t="n"/>
    </row>
    <row r="8">
      <c r="H8" s="5" t="inlineStr">
        <is>
          <t>VALID UNTIL</t>
        </is>
      </c>
      <c r="I8" s="6" t="inlineStr">
        <is>
          <t>2026/Oct/15</t>
        </is>
      </c>
      <c r="K8" s="9" t="n"/>
    </row>
    <row r="9">
      <c r="K9" s="9" t="n"/>
    </row>
    <row r="10" ht="13.8" customHeight="1" s="106">
      <c r="B10" s="28" t="inlineStr">
        <is>
          <t>CUSTOMER</t>
        </is>
      </c>
      <c r="C10" s="28" t="n"/>
      <c r="K10" s="9" t="n"/>
    </row>
    <row r="11">
      <c r="B11" s="3" t="inlineStr">
        <is>
          <t>To: MIH2 Pty Ltd - Fortescue</t>
        </is>
      </c>
      <c r="C11" s="3" t="n"/>
      <c r="K11" s="9" t="n"/>
    </row>
    <row r="12" ht="15.45" customHeight="1" s="106">
      <c r="B12" s="104" t="inlineStr">
        <is>
          <t>Hassan Ul Hassan</t>
        </is>
      </c>
      <c r="C12" s="107" t="n"/>
      <c r="D12" s="107" t="n"/>
      <c r="K12" s="9" t="n"/>
    </row>
    <row r="13" ht="16.2" customHeight="1" s="106">
      <c r="B13" s="36" t="inlineStr">
        <is>
          <t>noor.ulhassan@fortescue.com</t>
        </is>
      </c>
      <c r="C13" s="11" t="n"/>
      <c r="K13" s="9" t="n"/>
      <c r="P13" s="0" t="n"/>
    </row>
    <row r="14">
      <c r="B14" s="3" t="n"/>
      <c r="C14" s="3" t="n"/>
      <c r="K14" s="9" t="n"/>
    </row>
    <row r="15">
      <c r="B15" s="3" t="n"/>
      <c r="C15" s="3" t="n"/>
      <c r="K15" s="9" t="n"/>
    </row>
    <row r="16">
      <c r="I16" s="12" t="inlineStr">
        <is>
          <t>USD</t>
        </is>
      </c>
      <c r="K16" s="1" t="n"/>
      <c r="L16" s="105" t="n"/>
    </row>
    <row r="17" ht="13.8" customHeight="1" s="106">
      <c r="A17" s="13" t="n"/>
      <c r="B17" s="29" t="n"/>
      <c r="C17" s="30" t="inlineStr">
        <is>
          <t>DESCRIPTION</t>
        </is>
      </c>
      <c r="D17" s="31" t="n"/>
      <c r="E17" s="32" t="inlineStr">
        <is>
          <t>UNIT</t>
        </is>
      </c>
      <c r="F17" s="33" t="inlineStr">
        <is>
          <t>UNIT PRICE</t>
        </is>
      </c>
      <c r="G17" s="33" t="inlineStr">
        <is>
          <t>QTY</t>
        </is>
      </c>
      <c r="H17" s="33" t="inlineStr">
        <is>
          <t>AMOUNT</t>
        </is>
      </c>
      <c r="I17" s="33" t="inlineStr">
        <is>
          <t>Remark</t>
        </is>
      </c>
      <c r="J17" s="43" t="n"/>
      <c r="K17" s="43" t="n"/>
      <c r="L17" s="105" t="n"/>
    </row>
    <row r="18">
      <c r="B18" s="62" t="inlineStr">
        <is>
          <t>1-1</t>
        </is>
      </c>
      <c r="C18" s="75" t="inlineStr">
        <is>
          <t>Ni/FeAl PTE,</t>
        </is>
      </c>
      <c r="D18" s="76" t="n"/>
      <c r="E18" s="14" t="inlineStr">
        <is>
          <t>pcs</t>
        </is>
      </c>
      <c r="F18" s="108" t="n">
        <v>5.7</v>
      </c>
      <c r="G18" s="15" t="n">
        <v>10</v>
      </c>
      <c r="H18" s="109">
        <f>F18*G18</f>
        <v/>
      </c>
      <c r="I18" s="110" t="inlineStr">
        <is>
          <t>LT: 7 weeks</t>
        </is>
      </c>
      <c r="J18" s="111" t="n"/>
      <c r="K18" s="111" t="n"/>
      <c r="L18" s="105" t="n"/>
    </row>
    <row r="19">
      <c r="B19" s="63" t="n"/>
      <c r="C19" s="112" t="inlineStr">
        <is>
          <t xml:space="preserve"> 70 mm x 70 mm x 0.4 mm</t>
        </is>
      </c>
      <c r="D19" s="113" t="n"/>
      <c r="E19" s="114" t="n"/>
      <c r="F19" s="115" t="n"/>
      <c r="G19" s="15" t="n"/>
      <c r="H19" s="116" t="n"/>
      <c r="I19" s="117" t="n"/>
      <c r="J19" s="111" t="n"/>
      <c r="K19" s="111" t="n"/>
      <c r="L19" s="105" t="n"/>
    </row>
    <row r="20">
      <c r="B20" s="64" t="inlineStr">
        <is>
          <t>1-2</t>
        </is>
      </c>
      <c r="C20" s="112" t="inlineStr">
        <is>
          <t>One-time process setup charge for small volume sample</t>
        </is>
      </c>
      <c r="D20" s="113" t="n"/>
      <c r="E20" s="14" t="inlineStr">
        <is>
          <t>batch</t>
        </is>
      </c>
      <c r="F20" s="108" t="n">
        <v>800</v>
      </c>
      <c r="G20" s="15" t="n">
        <v>1</v>
      </c>
      <c r="H20" s="116">
        <f>F20*G20</f>
        <v/>
      </c>
      <c r="I20" s="118" t="n"/>
      <c r="J20" s="111" t="n"/>
      <c r="K20" s="111" t="n"/>
      <c r="L20" s="105" t="n"/>
    </row>
    <row r="21">
      <c r="B21" s="64" t="n"/>
      <c r="C21" s="119" t="n"/>
      <c r="D21" s="113" t="n"/>
      <c r="E21" s="114" t="n"/>
      <c r="F21" s="115" t="n"/>
      <c r="G21" s="15" t="n"/>
      <c r="H21" s="120" t="n"/>
      <c r="I21" s="117" t="n"/>
      <c r="J21" s="111" t="n"/>
      <c r="K21" s="111" t="n"/>
      <c r="L21" s="2" t="n"/>
    </row>
    <row r="22">
      <c r="B22" s="64" t="n"/>
      <c r="C22" s="112" t="n"/>
      <c r="D22" s="113" t="n"/>
      <c r="E22" s="14" t="n"/>
      <c r="F22" s="121" t="n"/>
      <c r="G22" s="15" t="n"/>
      <c r="H22" s="122" t="n"/>
      <c r="I22" s="118" t="n"/>
      <c r="J22" s="111" t="n"/>
      <c r="K22" s="111" t="n"/>
    </row>
    <row r="23">
      <c r="B23" s="64" t="n"/>
      <c r="C23" s="119" t="n"/>
      <c r="D23" s="113" t="n"/>
      <c r="E23" s="114" t="n"/>
      <c r="F23" s="115" t="n"/>
      <c r="G23" s="15" t="n"/>
      <c r="H23" s="120" t="n"/>
      <c r="I23" s="117" t="n"/>
      <c r="J23" s="111" t="n"/>
      <c r="K23" s="111" t="n"/>
    </row>
    <row r="24">
      <c r="B24" s="64" t="n"/>
      <c r="C24" s="112" t="n"/>
      <c r="D24" s="113" t="n"/>
      <c r="E24" s="14" t="n"/>
      <c r="F24" s="123" t="n"/>
      <c r="G24" s="15" t="n"/>
      <c r="H24" s="120" t="n"/>
      <c r="I24" s="118" t="n"/>
      <c r="J24" s="111" t="n"/>
      <c r="K24" s="111" t="n"/>
      <c r="L24" s="2" t="n"/>
    </row>
    <row r="25">
      <c r="B25" s="64" t="n"/>
      <c r="C25" s="119" t="n"/>
      <c r="D25" s="113" t="n"/>
      <c r="E25" s="114" t="n"/>
      <c r="F25" s="115" t="n"/>
      <c r="G25" s="15" t="n"/>
      <c r="H25" s="120" t="n"/>
      <c r="I25" s="117" t="n"/>
      <c r="J25" s="111" t="n"/>
      <c r="K25" s="111" t="n"/>
    </row>
    <row r="26">
      <c r="B26" s="64" t="n"/>
      <c r="C26" s="112" t="n"/>
      <c r="D26" s="113" t="n"/>
      <c r="E26" s="14" t="n"/>
      <c r="F26" s="123" t="n"/>
      <c r="G26" s="15" t="n"/>
      <c r="H26" s="120" t="n"/>
      <c r="I26" s="118" t="n"/>
      <c r="J26" s="111" t="n"/>
      <c r="K26" s="111" t="n"/>
    </row>
    <row r="27">
      <c r="B27" s="64" t="n"/>
      <c r="C27" s="119" t="n"/>
      <c r="D27" s="113" t="n"/>
      <c r="E27" s="114" t="n"/>
      <c r="F27" s="115" t="n"/>
      <c r="G27" s="15" t="n"/>
      <c r="H27" s="120" t="n"/>
      <c r="I27" s="117" t="n"/>
      <c r="J27" s="111" t="n"/>
      <c r="K27" s="111" t="n"/>
    </row>
    <row r="28">
      <c r="B28" s="64" t="n"/>
      <c r="C28" s="112" t="n"/>
      <c r="D28" s="113" t="n"/>
      <c r="E28" s="14" t="n"/>
      <c r="F28" s="123" t="n"/>
      <c r="G28" s="15" t="n"/>
      <c r="H28" s="120" t="n"/>
      <c r="I28" s="118" t="n"/>
      <c r="J28" s="111" t="n"/>
      <c r="K28" s="111" t="n"/>
    </row>
    <row r="29">
      <c r="B29" s="64" t="n"/>
      <c r="C29" s="119" t="n"/>
      <c r="D29" s="113" t="n"/>
      <c r="E29" s="114" t="n"/>
      <c r="F29" s="108" t="n"/>
      <c r="G29" s="15" t="n"/>
      <c r="H29" s="124" t="n"/>
      <c r="I29" s="118" t="n"/>
      <c r="J29" s="111" t="n"/>
      <c r="K29" s="111" t="n"/>
    </row>
    <row r="30">
      <c r="B30" s="64" t="n"/>
      <c r="C30" s="112" t="n"/>
      <c r="D30" s="113" t="n"/>
      <c r="E30" s="125" t="n"/>
      <c r="F30" s="108" t="n"/>
      <c r="G30" s="15" t="n"/>
      <c r="H30" s="124" t="n"/>
      <c r="I30" s="118" t="n"/>
      <c r="J30" s="111" t="n"/>
      <c r="K30" s="111" t="n"/>
    </row>
    <row r="31">
      <c r="B31" s="64" t="n"/>
      <c r="C31" s="119" t="n"/>
      <c r="D31" s="113" t="n"/>
      <c r="E31" s="114" t="n"/>
      <c r="F31" s="126" t="n"/>
      <c r="G31" s="15" t="n"/>
      <c r="H31" s="120" t="n"/>
      <c r="I31" s="118" t="n"/>
      <c r="J31" s="111" t="n"/>
      <c r="K31" s="111" t="n"/>
    </row>
    <row r="32">
      <c r="B32" s="64" t="n"/>
      <c r="C32" s="112" t="n"/>
      <c r="D32" s="113" t="n"/>
      <c r="E32" s="125" t="n"/>
      <c r="F32" s="108" t="n"/>
      <c r="G32" s="15" t="n"/>
      <c r="H32" s="124" t="n"/>
      <c r="I32" s="118" t="n"/>
      <c r="J32" s="111" t="n"/>
      <c r="K32" s="111" t="n"/>
    </row>
    <row r="33">
      <c r="B33" s="65" t="n"/>
      <c r="C33" s="127" t="n"/>
      <c r="D33" s="128" t="n"/>
      <c r="E33" s="129" t="n"/>
      <c r="F33" s="130" t="n"/>
      <c r="G33" s="8" t="n"/>
      <c r="H33" s="131" t="n"/>
      <c r="I33" s="132" t="n"/>
      <c r="J33" s="111" t="n"/>
      <c r="K33" s="111" t="n"/>
    </row>
    <row r="34">
      <c r="B34" s="56" t="n"/>
      <c r="C34" s="97" t="n"/>
      <c r="D34" s="133" t="n"/>
      <c r="E34" s="134" t="n"/>
      <c r="F34" s="135" t="n"/>
      <c r="G34" s="56" t="n"/>
      <c r="H34" s="56" t="n"/>
      <c r="I34" s="136" t="n"/>
      <c r="J34" s="43" t="n"/>
      <c r="K34" s="45" t="n"/>
    </row>
    <row r="35" ht="13.8" customHeight="1" s="106">
      <c r="C35" s="57" t="n"/>
      <c r="D35" s="57" t="n"/>
      <c r="E35" s="57" t="n"/>
      <c r="F35" s="57" t="n"/>
      <c r="G35" s="19" t="n"/>
    </row>
    <row r="36" ht="13.8" customHeight="1" s="106">
      <c r="B36" s="137" t="inlineStr">
        <is>
          <t>TERMS AND CONDITIONS</t>
        </is>
      </c>
      <c r="C36" s="138" t="n"/>
      <c r="D36" s="138" t="n"/>
      <c r="E36" s="138" t="n"/>
      <c r="F36" s="139" t="n"/>
      <c r="G36" s="19" t="n"/>
      <c r="H36" s="2" t="inlineStr">
        <is>
          <t>Subtotal</t>
        </is>
      </c>
      <c r="I36" s="140">
        <f>SUM(H18:H34)</f>
        <v/>
      </c>
      <c r="K36" s="9" t="n"/>
    </row>
    <row r="37" ht="13.8" customHeight="1" s="106">
      <c r="B37" s="42" t="n">
        <v>1</v>
      </c>
      <c r="C37" s="90" t="inlineStr">
        <is>
          <t>DDP</t>
        </is>
      </c>
      <c r="D37" s="90" t="n"/>
      <c r="E37" s="90" t="n"/>
      <c r="F37" s="91" t="n"/>
      <c r="G37" s="20" t="n"/>
      <c r="H37" s="2" t="inlineStr">
        <is>
          <t>VAT*</t>
        </is>
      </c>
      <c r="I37" s="141" t="n">
        <v>0.1</v>
      </c>
      <c r="K37" s="9" t="n"/>
    </row>
    <row r="38" ht="13.8" customHeight="1" s="106">
      <c r="B38" s="42" t="n">
        <v>2</v>
      </c>
      <c r="C38" s="40" t="inlineStr">
        <is>
          <t>GST/VAT 10 %</t>
        </is>
      </c>
      <c r="D38" s="40" t="n"/>
      <c r="E38" s="40" t="n"/>
      <c r="F38" s="41" t="n"/>
      <c r="G38" s="20" t="n"/>
      <c r="H38" s="2" t="inlineStr">
        <is>
          <t>Tariff**</t>
        </is>
      </c>
      <c r="I38" s="70" t="n">
        <v>0</v>
      </c>
      <c r="K38" s="9" t="n"/>
    </row>
    <row r="39" ht="14.4" customHeight="1" s="106" thickBot="1">
      <c r="B39" s="42" t="n">
        <v>3</v>
      </c>
      <c r="C39" s="2" t="inlineStr">
        <is>
          <t>HS CODE: 8105.20</t>
        </is>
      </c>
      <c r="D39" s="40" t="n"/>
      <c r="E39" s="40" t="n"/>
      <c r="F39" s="41" t="n"/>
      <c r="G39" s="20" t="n"/>
      <c r="H39" s="21" t="inlineStr">
        <is>
          <t>FedEx</t>
        </is>
      </c>
      <c r="I39" s="142" t="n">
        <v>75</v>
      </c>
      <c r="K39" s="9" t="n"/>
    </row>
    <row r="40" ht="14.4" customHeight="1" s="106" thickTop="1">
      <c r="B40" s="42" t="n">
        <v>4</v>
      </c>
      <c r="C40" s="40" t="inlineStr">
        <is>
          <t>Addition shipping fee by FedEx: 75 USD</t>
        </is>
      </c>
      <c r="D40" s="40" t="n"/>
      <c r="E40" s="40" t="n"/>
      <c r="F40" s="41" t="n"/>
      <c r="G40" s="20" t="n"/>
      <c r="H40" s="23" t="inlineStr">
        <is>
          <t>TOTAL</t>
        </is>
      </c>
      <c r="I40" s="143">
        <f>I36+(I36*I37)+I38+I39</f>
        <v/>
      </c>
      <c r="K40" s="9" t="n"/>
    </row>
    <row r="41" ht="13.8" customHeight="1" s="106">
      <c r="B41" s="42" t="n"/>
      <c r="D41" s="40" t="n"/>
      <c r="E41" s="40" t="n"/>
      <c r="F41" s="41" t="n"/>
      <c r="G41" s="20" t="n"/>
      <c r="K41" s="9" t="n"/>
    </row>
    <row r="42">
      <c r="B42" s="144" t="inlineStr">
        <is>
          <t>Customer Acceptance (sign below):</t>
        </is>
      </c>
      <c r="C42" s="107" t="n"/>
      <c r="D42" s="107" t="n"/>
      <c r="E42" s="107" t="n"/>
      <c r="F42" s="145" t="n"/>
      <c r="K42" s="9" t="n"/>
    </row>
    <row r="43">
      <c r="B43" s="80" t="n"/>
      <c r="C43" s="81" t="n"/>
      <c r="D43" s="81" t="n"/>
      <c r="E43" s="81" t="n"/>
      <c r="F43" s="82" t="n"/>
      <c r="K43" s="9" t="n"/>
    </row>
    <row r="44">
      <c r="B44" s="146" t="inlineStr">
        <is>
          <t>x ___________________________________________</t>
        </is>
      </c>
      <c r="C44" s="107" t="n"/>
      <c r="D44" s="107" t="n"/>
      <c r="E44" s="107" t="n"/>
      <c r="F44" s="145" t="n"/>
      <c r="H44" s="88" t="n"/>
      <c r="K44" s="9" t="n"/>
    </row>
    <row r="45">
      <c r="B45" s="147" t="inlineStr">
        <is>
          <t>Print Name:</t>
        </is>
      </c>
      <c r="C45" s="107" t="n"/>
      <c r="D45" s="107" t="n"/>
      <c r="E45" s="107" t="n"/>
      <c r="F45" s="145" t="n"/>
      <c r="H45" s="92" t="n"/>
      <c r="I45" s="107" t="n"/>
      <c r="K45" s="9" t="n"/>
    </row>
    <row r="46">
      <c r="B46" s="148" t="n"/>
      <c r="C46" s="149" t="n"/>
      <c r="D46" s="149" t="n"/>
      <c r="E46" s="149" t="n"/>
      <c r="F46" s="150" t="n"/>
      <c r="K46" s="9" t="n"/>
    </row>
    <row r="47">
      <c r="K47" s="9" t="n"/>
    </row>
    <row r="48">
      <c r="B48" s="96" t="inlineStr">
        <is>
          <t>If you have any questions about this price quote, please contact</t>
        </is>
      </c>
      <c r="K48" s="9" t="n"/>
    </row>
    <row r="49">
      <c r="B49" s="83" t="inlineStr">
        <is>
          <t>Leon Kuo, lkuo@cellmoinc.com</t>
        </is>
      </c>
      <c r="C49" s="107" t="n"/>
      <c r="D49" s="107" t="n"/>
      <c r="E49" s="107" t="n"/>
      <c r="F49" s="107" t="n"/>
      <c r="G49" s="107" t="n"/>
      <c r="H49" s="107" t="n"/>
      <c r="I49" s="107" t="n"/>
      <c r="K49" s="9" t="n"/>
    </row>
    <row r="50">
      <c r="K50" s="9" t="n"/>
    </row>
    <row r="51" ht="15.6" customHeight="1" s="106">
      <c r="B51" s="84" t="inlineStr">
        <is>
          <t>Thank You For Your Business!</t>
        </is>
      </c>
    </row>
  </sheetData>
  <mergeCells count="30">
    <mergeCell ref="C34:D34"/>
    <mergeCell ref="C24:D24"/>
    <mergeCell ref="C30:D30"/>
    <mergeCell ref="C33:D33"/>
    <mergeCell ref="B3:I3"/>
    <mergeCell ref="B46:F46"/>
    <mergeCell ref="H44:I44"/>
    <mergeCell ref="C26:D26"/>
    <mergeCell ref="C20:D20"/>
    <mergeCell ref="B48:I48"/>
    <mergeCell ref="C29:D29"/>
    <mergeCell ref="C25:D25"/>
    <mergeCell ref="B2:I2"/>
    <mergeCell ref="B42:F42"/>
    <mergeCell ref="C22:D22"/>
    <mergeCell ref="C31:D31"/>
    <mergeCell ref="B44:F44"/>
    <mergeCell ref="C21:D21"/>
    <mergeCell ref="H45:I45"/>
    <mergeCell ref="C27:D27"/>
    <mergeCell ref="B4:D4"/>
    <mergeCell ref="C23:D23"/>
    <mergeCell ref="B49:I49"/>
    <mergeCell ref="C32:D32"/>
    <mergeCell ref="B51:I51"/>
    <mergeCell ref="C19:D19"/>
    <mergeCell ref="C28:D28"/>
    <mergeCell ref="B45:F45"/>
    <mergeCell ref="B36:F36"/>
    <mergeCell ref="B12:D12"/>
  </mergeCells>
  <conditionalFormatting sqref="B18:C34 F18:I34">
    <cfRule type="expression" priority="28" dxfId="0" stopIfTrue="1">
      <formula>MOD(ROW(),2)=1</formula>
    </cfRule>
  </conditionalFormatting>
  <conditionalFormatting sqref="E19">
    <cfRule type="expression" priority="3" dxfId="0" stopIfTrue="1">
      <formula>MOD(ROW(),2)=1</formula>
    </cfRule>
  </conditionalFormatting>
  <conditionalFormatting sqref="E21">
    <cfRule type="expression" priority="2" dxfId="0" stopIfTrue="1">
      <formula>MOD(ROW(),2)=1</formula>
    </cfRule>
  </conditionalFormatting>
  <conditionalFormatting sqref="E23">
    <cfRule type="expression" priority="10" dxfId="0" stopIfTrue="1">
      <formula>MOD(ROW(),2)=1</formula>
    </cfRule>
  </conditionalFormatting>
  <conditionalFormatting sqref="E25">
    <cfRule type="expression" priority="9" dxfId="0" stopIfTrue="1">
      <formula>MOD(ROW(),2)=1</formula>
    </cfRule>
  </conditionalFormatting>
  <conditionalFormatting sqref="E27">
    <cfRule type="expression" priority="8" dxfId="0" stopIfTrue="1">
      <formula>MOD(ROW(),2)=1</formula>
    </cfRule>
  </conditionalFormatting>
  <conditionalFormatting sqref="E29:E34">
    <cfRule type="expression" priority="4" dxfId="0" stopIfTrue="1">
      <formula>MOD(ROW(),2)=1</formula>
    </cfRule>
  </conditionalFormatting>
  <hyperlinks>
    <hyperlink xmlns:r="http://schemas.openxmlformats.org/officeDocument/2006/relationships" ref="B13" r:id="rId1"/>
  </hyperlinks>
  <printOptions horizontalCentered="1"/>
  <pageMargins left="0.25" right="0.25" top="0.75" bottom="0.75" header="0.3" footer="0.3"/>
  <pageSetup orientation="portrait" paperSize="9" scale="82" fitToHeight="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郭嘉榮</dc:creator>
  <dcterms:created xmlns:dcterms="http://purl.org/dc/terms/" xmlns:xsi="http://www.w3.org/2001/XMLSchema-instance" xsi:type="dcterms:W3CDTF">2021-08-30T11:22:00Z</dcterms:created>
  <dcterms:modified xmlns:dcterms="http://purl.org/dc/terms/" xmlns:xsi="http://www.w3.org/2001/XMLSchema-instance" xsi:type="dcterms:W3CDTF">2026-09-15T06:53:35Z</dcterms:modified>
  <cp:lastModifiedBy>Leon Kuo</cp:lastModifiedBy>
  <cp:lastPrinted>2026-09-10T07:43:45Z</cp:lastPrinted>
</cp:coreProperties>
</file>